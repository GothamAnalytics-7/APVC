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cteiul365-my.sharepoint.com/personal/ragoo_iscte-iul_pt/Documents/MCD/Projetos/APVC_Projeto/APVC-ProjetoFinal/"/>
    </mc:Choice>
  </mc:AlternateContent>
  <xr:revisionPtr revIDLastSave="0" documentId="8_{81C3B2C3-3C05-4A9D-B83F-6141F6A0A6A0}" xr6:coauthVersionLast="47" xr6:coauthVersionMax="47" xr10:uidLastSave="{00000000-0000-0000-0000-000000000000}"/>
  <bookViews>
    <workbookView xWindow="-98" yWindow="-98" windowWidth="19396" windowHeight="12196" xr2:uid="{EF9D6125-A789-4230-ABD3-1B4B0ACF9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</calcChain>
</file>

<file path=xl/sharedStrings.xml><?xml version="1.0" encoding="utf-8"?>
<sst xmlns="http://schemas.openxmlformats.org/spreadsheetml/2006/main" count="110" uniqueCount="68">
  <si>
    <t>Classe original</t>
  </si>
  <si>
    <t>Tipologia nova</t>
  </si>
  <si>
    <t>Igreja: 207 monumentos</t>
  </si>
  <si>
    <t>Castelo: 112 monumentos</t>
  </si>
  <si>
    <t>Pelourinho: 42 monumentos</t>
  </si>
  <si>
    <t>Mosteiro: 37 monumentos</t>
  </si>
  <si>
    <t>Ponte: 35 monumentos</t>
  </si>
  <si>
    <t>Capela: 35 monumentos</t>
  </si>
  <si>
    <t>Convento: 31 monumentos</t>
  </si>
  <si>
    <t>Museu: 30 monumentos</t>
  </si>
  <si>
    <t>Palacio: 27 monumentos</t>
  </si>
  <si>
    <t>Anta: 25 monumentos</t>
  </si>
  <si>
    <t>Farol: 25 monumentos</t>
  </si>
  <si>
    <t>Chafariz: 24 monumentos</t>
  </si>
  <si>
    <t>Praia: 22 monumentos</t>
  </si>
  <si>
    <t>Forte: 22 monumentos</t>
  </si>
  <si>
    <t>Cruzeiro: 21 monumentos</t>
  </si>
  <si>
    <t>Casa: 20 monumentos</t>
  </si>
  <si>
    <t>Torre: 19 monumentos</t>
  </si>
  <si>
    <t>Castro: 15 monumentos</t>
  </si>
  <si>
    <t>Jardim: 15 monumentos</t>
  </si>
  <si>
    <t>Santuario: 15 monumentos</t>
  </si>
  <si>
    <t>Muralhas: 10 monumentos</t>
  </si>
  <si>
    <t>Aqueduto: 9 monumentos</t>
  </si>
  <si>
    <t>Lagoa: 9 monumentos</t>
  </si>
  <si>
    <t>Basilica: 8 monumentos</t>
  </si>
  <si>
    <t>Praca: 8 monumentos</t>
  </si>
  <si>
    <t>Ermida: 7 monumentos</t>
  </si>
  <si>
    <t>Fonte: 7 monumentos</t>
  </si>
  <si>
    <t>Padrao: 7 monumentos</t>
  </si>
  <si>
    <t>Tumulo: 7 monumentos</t>
  </si>
  <si>
    <t>Catedral: 6 monumentos</t>
  </si>
  <si>
    <t>Dolmen: 6 monumentos</t>
  </si>
  <si>
    <t>Elevador: 6 monumentos</t>
  </si>
  <si>
    <t>Ruinas: 6 monumentos</t>
  </si>
  <si>
    <t>Teatro: 6 monumentos</t>
  </si>
  <si>
    <t>Arco: 5 monumentos</t>
  </si>
  <si>
    <t>Quinta: 5 monumentos</t>
  </si>
  <si>
    <t>Menir: 5 monumentos</t>
  </si>
  <si>
    <t>Monumento: 5 monumentos</t>
  </si>
  <si>
    <t>Cabo: 4 monumentos</t>
  </si>
  <si>
    <t>Cerca: 4 monumentos</t>
  </si>
  <si>
    <t>Fortaleza: 4 monumentos</t>
  </si>
  <si>
    <t>Lapide: 4 monumentos</t>
  </si>
  <si>
    <t>Citania: 3 monumentos</t>
  </si>
  <si>
    <t>Gruta: 3 monumentos</t>
  </si>
  <si>
    <t>Hospital: 3 monumentos</t>
  </si>
  <si>
    <t>Memorial: 3 monumentos</t>
  </si>
  <si>
    <t>Miradouro: 3 monumentos</t>
  </si>
  <si>
    <t>Termas: 3 monumentos</t>
  </si>
  <si>
    <t>Codigo</t>
  </si>
  <si>
    <t>Castelos</t>
  </si>
  <si>
    <t>Castros</t>
  </si>
  <si>
    <t>Cruzeiros</t>
  </si>
  <si>
    <t>Edíficios de arquitetura civil</t>
  </si>
  <si>
    <t>Fortalezas</t>
  </si>
  <si>
    <t>Património religioso</t>
  </si>
  <si>
    <t>Marcos de milha e cruzamento</t>
  </si>
  <si>
    <t>Monumentos megalíticos</t>
  </si>
  <si>
    <t>Palácios</t>
  </si>
  <si>
    <t>Pelourinhos</t>
  </si>
  <si>
    <t>Pontes</t>
  </si>
  <si>
    <t>Quintas classificadas</t>
  </si>
  <si>
    <t>Edificações romanas</t>
  </si>
  <si>
    <t>Torres</t>
  </si>
  <si>
    <t>Fonte</t>
  </si>
  <si>
    <t>Natureza</t>
  </si>
  <si>
    <t>Património cultural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</si>
</sst>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77F3C-7935-4619-9C8C-F5C75081EDC3}" name="Table2" displayName="Table2" ref="A1:C49" totalsRowShown="0">
  <autoFilter ref="A1:C49" xr:uid="{C0777F3C-7935-4619-9C8C-F5C75081EDC3}"/>
  <tableColumns count="3">
    <tableColumn id="1" xr3:uid="{2E81F6BF-961B-4587-9046-329C18BB5077}" name="Codigo"/>
    <tableColumn id="3" xr3:uid="{9ABADF4C-1015-4BB9-92DF-4293E55F4973}" name="Classe original" dataDxfId="0">
      <calculatedColumnFormula>+_xlfn.TEXTBEFORE(Table2[[#This Row],[Codigo]],":")</calculatedColumnFormula>
    </tableColumn>
    <tableColumn id="2" xr3:uid="{2B217C5B-45CB-4184-B4A5-86A182BC2D13}" name="Tipologia nova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3AB8-50AD-485B-ABF1-DFD6AA16F060}">
  <dimension ref="A1:E49"/>
  <sheetViews>
    <sheetView tabSelected="1" workbookViewId="0">
      <selection activeCell="D14" sqref="D14"/>
    </sheetView>
  </sheetViews>
  <sheetFormatPr defaultRowHeight="14.25"/>
  <cols>
    <col min="1" max="1" width="23.46484375" bestFit="1" customWidth="1"/>
    <col min="2" max="2" width="14.265625" customWidth="1"/>
    <col min="3" max="3" width="22.3984375" bestFit="1" customWidth="1"/>
    <col min="5" max="5" width="24.59765625" bestFit="1" customWidth="1"/>
  </cols>
  <sheetData>
    <row r="1" spans="1:5">
      <c r="A1" t="s">
        <v>50</v>
      </c>
      <c r="B1" t="s">
        <v>0</v>
      </c>
      <c r="C1" t="s">
        <v>1</v>
      </c>
    </row>
    <row r="2" spans="1:5">
      <c r="A2" s="1" t="s">
        <v>2</v>
      </c>
      <c r="B2" s="1" t="str">
        <f>+_xlfn.TEXTBEFORE(Table2[[#This Row],[Codigo]],":")</f>
        <v>Igreja</v>
      </c>
      <c r="C2" t="s">
        <v>56</v>
      </c>
      <c r="E2" t="s">
        <v>51</v>
      </c>
    </row>
    <row r="3" spans="1:5">
      <c r="A3" s="1" t="s">
        <v>3</v>
      </c>
      <c r="B3" s="1" t="str">
        <f>+_xlfn.TEXTBEFORE(Table2[[#This Row],[Codigo]],":")</f>
        <v>Castelo</v>
      </c>
      <c r="C3" t="s">
        <v>51</v>
      </c>
      <c r="E3" t="s">
        <v>52</v>
      </c>
    </row>
    <row r="4" spans="1:5">
      <c r="A4" s="1" t="s">
        <v>4</v>
      </c>
      <c r="B4" s="1" t="str">
        <f>+_xlfn.TEXTBEFORE(Table2[[#This Row],[Codigo]],":")</f>
        <v>Pelourinho</v>
      </c>
      <c r="C4" t="s">
        <v>60</v>
      </c>
      <c r="E4" t="s">
        <v>53</v>
      </c>
    </row>
    <row r="5" spans="1:5">
      <c r="A5" s="1" t="s">
        <v>5</v>
      </c>
      <c r="B5" s="1" t="str">
        <f>+_xlfn.TEXTBEFORE(Table2[[#This Row],[Codigo]],":")</f>
        <v>Mosteiro</v>
      </c>
      <c r="C5" t="s">
        <v>56</v>
      </c>
      <c r="E5" t="s">
        <v>54</v>
      </c>
    </row>
    <row r="6" spans="1:5">
      <c r="A6" s="1" t="s">
        <v>6</v>
      </c>
      <c r="B6" s="1" t="str">
        <f>+_xlfn.TEXTBEFORE(Table2[[#This Row],[Codigo]],":")</f>
        <v>Ponte</v>
      </c>
      <c r="C6" t="s">
        <v>61</v>
      </c>
      <c r="E6" t="s">
        <v>55</v>
      </c>
    </row>
    <row r="7" spans="1:5">
      <c r="A7" s="1" t="s">
        <v>7</v>
      </c>
      <c r="B7" s="1" t="str">
        <f>+_xlfn.TEXTBEFORE(Table2[[#This Row],[Codigo]],":")</f>
        <v>Capela</v>
      </c>
      <c r="C7" t="s">
        <v>56</v>
      </c>
      <c r="E7" t="s">
        <v>56</v>
      </c>
    </row>
    <row r="8" spans="1:5">
      <c r="A8" s="1" t="s">
        <v>8</v>
      </c>
      <c r="B8" s="1" t="str">
        <f>+_xlfn.TEXTBEFORE(Table2[[#This Row],[Codigo]],":")</f>
        <v>Convento</v>
      </c>
      <c r="C8" t="s">
        <v>56</v>
      </c>
      <c r="E8" t="s">
        <v>57</v>
      </c>
    </row>
    <row r="9" spans="1:5">
      <c r="A9" s="1" t="s">
        <v>9</v>
      </c>
      <c r="B9" s="1" t="str">
        <f>+_xlfn.TEXTBEFORE(Table2[[#This Row],[Codigo]],":")</f>
        <v>Museu</v>
      </c>
      <c r="C9" s="2" t="s">
        <v>67</v>
      </c>
      <c r="E9" t="s">
        <v>58</v>
      </c>
    </row>
    <row r="10" spans="1:5">
      <c r="A10" s="1" t="s">
        <v>10</v>
      </c>
      <c r="B10" s="1" t="str">
        <f>+_xlfn.TEXTBEFORE(Table2[[#This Row],[Codigo]],":")</f>
        <v>Palacio</v>
      </c>
      <c r="C10" t="s">
        <v>59</v>
      </c>
      <c r="E10" t="s">
        <v>59</v>
      </c>
    </row>
    <row r="11" spans="1:5">
      <c r="A11" s="1" t="s">
        <v>11</v>
      </c>
      <c r="B11" s="1" t="str">
        <f>+_xlfn.TEXTBEFORE(Table2[[#This Row],[Codigo]],":")</f>
        <v>Anta</v>
      </c>
      <c r="C11" t="s">
        <v>58</v>
      </c>
      <c r="E11" t="s">
        <v>60</v>
      </c>
    </row>
    <row r="12" spans="1:5">
      <c r="A12" s="1" t="s">
        <v>12</v>
      </c>
      <c r="B12" s="1" t="str">
        <f>+_xlfn.TEXTBEFORE(Table2[[#This Row],[Codigo]],":")</f>
        <v>Farol</v>
      </c>
      <c r="C12" t="s">
        <v>64</v>
      </c>
      <c r="E12" t="s">
        <v>61</v>
      </c>
    </row>
    <row r="13" spans="1:5">
      <c r="A13" s="1" t="s">
        <v>13</v>
      </c>
      <c r="B13" s="1" t="str">
        <f>+_xlfn.TEXTBEFORE(Table2[[#This Row],[Codigo]],":")</f>
        <v>Chafariz</v>
      </c>
      <c r="C13" s="2" t="s">
        <v>65</v>
      </c>
      <c r="E13" t="s">
        <v>62</v>
      </c>
    </row>
    <row r="14" spans="1:5">
      <c r="A14" s="1" t="s">
        <v>14</v>
      </c>
      <c r="B14" s="1" t="str">
        <f>+_xlfn.TEXTBEFORE(Table2[[#This Row],[Codigo]],":")</f>
        <v>Praia</v>
      </c>
      <c r="C14" s="2" t="s">
        <v>66</v>
      </c>
      <c r="E14" t="s">
        <v>63</v>
      </c>
    </row>
    <row r="15" spans="1:5">
      <c r="A15" s="1" t="s">
        <v>15</v>
      </c>
      <c r="B15" s="1" t="str">
        <f>+_xlfn.TEXTBEFORE(Table2[[#This Row],[Codigo]],":")</f>
        <v>Forte</v>
      </c>
      <c r="C15" t="s">
        <v>55</v>
      </c>
      <c r="E15" t="s">
        <v>64</v>
      </c>
    </row>
    <row r="16" spans="1:5">
      <c r="A16" s="1" t="s">
        <v>16</v>
      </c>
      <c r="B16" s="1" t="str">
        <f>+_xlfn.TEXTBEFORE(Table2[[#This Row],[Codigo]],":")</f>
        <v>Cruzeiro</v>
      </c>
      <c r="C16" t="s">
        <v>53</v>
      </c>
      <c r="E16" s="2" t="s">
        <v>65</v>
      </c>
    </row>
    <row r="17" spans="1:5">
      <c r="A17" s="1" t="s">
        <v>17</v>
      </c>
      <c r="B17" s="1" t="str">
        <f>+_xlfn.TEXTBEFORE(Table2[[#This Row],[Codigo]],":")</f>
        <v>Casa</v>
      </c>
      <c r="C17" t="s">
        <v>54</v>
      </c>
      <c r="E17" s="2" t="s">
        <v>66</v>
      </c>
    </row>
    <row r="18" spans="1:5">
      <c r="A18" s="1" t="s">
        <v>18</v>
      </c>
      <c r="B18" s="1" t="str">
        <f>+_xlfn.TEXTBEFORE(Table2[[#This Row],[Codigo]],":")</f>
        <v>Torre</v>
      </c>
      <c r="C18" t="s">
        <v>64</v>
      </c>
      <c r="E18" s="2" t="s">
        <v>67</v>
      </c>
    </row>
    <row r="19" spans="1:5">
      <c r="A19" s="1" t="s">
        <v>19</v>
      </c>
      <c r="B19" s="1" t="str">
        <f>+_xlfn.TEXTBEFORE(Table2[[#This Row],[Codigo]],":")</f>
        <v>Castro</v>
      </c>
      <c r="C19" t="s">
        <v>52</v>
      </c>
    </row>
    <row r="20" spans="1:5">
      <c r="A20" s="1" t="s">
        <v>20</v>
      </c>
      <c r="B20" s="1" t="str">
        <f>+_xlfn.TEXTBEFORE(Table2[[#This Row],[Codigo]],":")</f>
        <v>Jardim</v>
      </c>
      <c r="C20" t="s">
        <v>54</v>
      </c>
    </row>
    <row r="21" spans="1:5">
      <c r="A21" s="1" t="s">
        <v>21</v>
      </c>
      <c r="B21" s="1" t="str">
        <f>+_xlfn.TEXTBEFORE(Table2[[#This Row],[Codigo]],":")</f>
        <v>Santuario</v>
      </c>
      <c r="C21" t="s">
        <v>56</v>
      </c>
    </row>
    <row r="22" spans="1:5">
      <c r="A22" s="1" t="s">
        <v>22</v>
      </c>
      <c r="B22" s="1" t="str">
        <f>+_xlfn.TEXTBEFORE(Table2[[#This Row],[Codigo]],":")</f>
        <v>Muralhas</v>
      </c>
      <c r="C22" t="s">
        <v>55</v>
      </c>
    </row>
    <row r="23" spans="1:5">
      <c r="A23" s="1" t="s">
        <v>23</v>
      </c>
      <c r="B23" s="1" t="str">
        <f>+_xlfn.TEXTBEFORE(Table2[[#This Row],[Codigo]],":")</f>
        <v>Aqueduto</v>
      </c>
    </row>
    <row r="24" spans="1:5">
      <c r="A24" s="1" t="s">
        <v>24</v>
      </c>
      <c r="B24" s="1" t="str">
        <f>+_xlfn.TEXTBEFORE(Table2[[#This Row],[Codigo]],":")</f>
        <v>Lagoa</v>
      </c>
      <c r="C24" s="2" t="s">
        <v>66</v>
      </c>
    </row>
    <row r="25" spans="1:5">
      <c r="A25" s="1" t="s">
        <v>25</v>
      </c>
      <c r="B25" s="1" t="str">
        <f>+_xlfn.TEXTBEFORE(Table2[[#This Row],[Codigo]],":")</f>
        <v>Basilica</v>
      </c>
      <c r="C25" t="s">
        <v>56</v>
      </c>
    </row>
    <row r="26" spans="1:5">
      <c r="A26" s="1" t="s">
        <v>26</v>
      </c>
      <c r="B26" s="1" t="str">
        <f>+_xlfn.TEXTBEFORE(Table2[[#This Row],[Codigo]],":")</f>
        <v>Praca</v>
      </c>
      <c r="C26" t="s">
        <v>54</v>
      </c>
    </row>
    <row r="27" spans="1:5">
      <c r="A27" s="1" t="s">
        <v>27</v>
      </c>
      <c r="B27" s="1" t="str">
        <f>+_xlfn.TEXTBEFORE(Table2[[#This Row],[Codigo]],":")</f>
        <v>Ermida</v>
      </c>
      <c r="C27" t="s">
        <v>56</v>
      </c>
    </row>
    <row r="28" spans="1:5">
      <c r="A28" s="1" t="s">
        <v>28</v>
      </c>
      <c r="B28" s="1" t="str">
        <f>+_xlfn.TEXTBEFORE(Table2[[#This Row],[Codigo]],":")</f>
        <v>Fonte</v>
      </c>
      <c r="C28" s="2" t="s">
        <v>65</v>
      </c>
    </row>
    <row r="29" spans="1:5">
      <c r="A29" s="1" t="s">
        <v>29</v>
      </c>
      <c r="B29" s="1" t="str">
        <f>+_xlfn.TEXTBEFORE(Table2[[#This Row],[Codigo]],":")</f>
        <v>Padrao</v>
      </c>
    </row>
    <row r="30" spans="1:5">
      <c r="A30" s="1" t="s">
        <v>30</v>
      </c>
      <c r="B30" s="1" t="str">
        <f>+_xlfn.TEXTBEFORE(Table2[[#This Row],[Codigo]],":")</f>
        <v>Tumulo</v>
      </c>
      <c r="C30" t="s">
        <v>56</v>
      </c>
    </row>
    <row r="31" spans="1:5">
      <c r="A31" s="1" t="s">
        <v>31</v>
      </c>
      <c r="B31" s="1" t="str">
        <f>+_xlfn.TEXTBEFORE(Table2[[#This Row],[Codigo]],":")</f>
        <v>Catedral</v>
      </c>
      <c r="C31" t="s">
        <v>56</v>
      </c>
    </row>
    <row r="32" spans="1:5">
      <c r="A32" s="1" t="s">
        <v>32</v>
      </c>
      <c r="B32" s="1" t="str">
        <f>+_xlfn.TEXTBEFORE(Table2[[#This Row],[Codigo]],":")</f>
        <v>Dolmen</v>
      </c>
      <c r="C32" t="s">
        <v>58</v>
      </c>
    </row>
    <row r="33" spans="1:3">
      <c r="A33" s="1" t="s">
        <v>33</v>
      </c>
      <c r="B33" s="1" t="str">
        <f>+_xlfn.TEXTBEFORE(Table2[[#This Row],[Codigo]],":")</f>
        <v>Elevador</v>
      </c>
    </row>
    <row r="34" spans="1:3">
      <c r="A34" s="1" t="s">
        <v>34</v>
      </c>
      <c r="B34" s="1" t="str">
        <f>+_xlfn.TEXTBEFORE(Table2[[#This Row],[Codigo]],":")</f>
        <v>Ruinas</v>
      </c>
    </row>
    <row r="35" spans="1:3">
      <c r="A35" s="1" t="s">
        <v>35</v>
      </c>
      <c r="B35" s="1" t="str">
        <f>+_xlfn.TEXTBEFORE(Table2[[#This Row],[Codigo]],":")</f>
        <v>Teatro</v>
      </c>
      <c r="C35" s="2" t="s">
        <v>67</v>
      </c>
    </row>
    <row r="36" spans="1:3">
      <c r="A36" s="1" t="s">
        <v>36</v>
      </c>
      <c r="B36" s="1" t="str">
        <f>+_xlfn.TEXTBEFORE(Table2[[#This Row],[Codigo]],":")</f>
        <v>Arco</v>
      </c>
    </row>
    <row r="37" spans="1:3">
      <c r="A37" s="1" t="s">
        <v>37</v>
      </c>
      <c r="B37" s="1" t="str">
        <f>+_xlfn.TEXTBEFORE(Table2[[#This Row],[Codigo]],":")</f>
        <v>Quinta</v>
      </c>
      <c r="C37" t="s">
        <v>62</v>
      </c>
    </row>
    <row r="38" spans="1:3">
      <c r="A38" s="1" t="s">
        <v>38</v>
      </c>
      <c r="B38" s="1" t="str">
        <f>+_xlfn.TEXTBEFORE(Table2[[#This Row],[Codigo]],":")</f>
        <v>Menir</v>
      </c>
      <c r="C38" t="s">
        <v>58</v>
      </c>
    </row>
    <row r="39" spans="1:3">
      <c r="A39" s="1" t="s">
        <v>39</v>
      </c>
      <c r="B39" s="1" t="str">
        <f>+_xlfn.TEXTBEFORE(Table2[[#This Row],[Codigo]],":")</f>
        <v>Monumento</v>
      </c>
      <c r="C39" s="2" t="s">
        <v>67</v>
      </c>
    </row>
    <row r="40" spans="1:3">
      <c r="A40" s="1" t="s">
        <v>40</v>
      </c>
      <c r="B40" s="1" t="str">
        <f>+_xlfn.TEXTBEFORE(Table2[[#This Row],[Codigo]],":")</f>
        <v>Cabo</v>
      </c>
      <c r="C40" s="2" t="s">
        <v>66</v>
      </c>
    </row>
    <row r="41" spans="1:3">
      <c r="A41" s="1" t="s">
        <v>41</v>
      </c>
      <c r="B41" s="1" t="str">
        <f>+_xlfn.TEXTBEFORE(Table2[[#This Row],[Codigo]],":")</f>
        <v>Cerca</v>
      </c>
      <c r="C41" t="s">
        <v>55</v>
      </c>
    </row>
    <row r="42" spans="1:3">
      <c r="A42" s="1" t="s">
        <v>42</v>
      </c>
      <c r="B42" s="1" t="str">
        <f>+_xlfn.TEXTBEFORE(Table2[[#This Row],[Codigo]],":")</f>
        <v>Fortaleza</v>
      </c>
      <c r="C42" t="s">
        <v>55</v>
      </c>
    </row>
    <row r="43" spans="1:3">
      <c r="A43" s="1" t="s">
        <v>43</v>
      </c>
      <c r="B43" s="1" t="str">
        <f>+_xlfn.TEXTBEFORE(Table2[[#This Row],[Codigo]],":")</f>
        <v>Lapide</v>
      </c>
      <c r="C43" t="s">
        <v>56</v>
      </c>
    </row>
    <row r="44" spans="1:3">
      <c r="A44" s="1" t="s">
        <v>44</v>
      </c>
      <c r="B44" s="1" t="str">
        <f>+_xlfn.TEXTBEFORE(Table2[[#This Row],[Codigo]],":")</f>
        <v>Citania</v>
      </c>
      <c r="C44" t="s">
        <v>63</v>
      </c>
    </row>
    <row r="45" spans="1:3">
      <c r="A45" s="1" t="s">
        <v>45</v>
      </c>
      <c r="B45" s="1" t="str">
        <f>+_xlfn.TEXTBEFORE(Table2[[#This Row],[Codigo]],":")</f>
        <v>Gruta</v>
      </c>
      <c r="C45" s="2" t="s">
        <v>66</v>
      </c>
    </row>
    <row r="46" spans="1:3">
      <c r="A46" s="1" t="s">
        <v>46</v>
      </c>
      <c r="B46" s="1" t="str">
        <f>+_xlfn.TEXTBEFORE(Table2[[#This Row],[Codigo]],":")</f>
        <v>Hospital</v>
      </c>
      <c r="C46" t="s">
        <v>54</v>
      </c>
    </row>
    <row r="47" spans="1:3">
      <c r="A47" s="1" t="s">
        <v>47</v>
      </c>
      <c r="B47" s="1" t="str">
        <f>+_xlfn.TEXTBEFORE(Table2[[#This Row],[Codigo]],":")</f>
        <v>Memorial</v>
      </c>
      <c r="C47" s="2" t="s">
        <v>67</v>
      </c>
    </row>
    <row r="48" spans="1:3">
      <c r="A48" s="1" t="s">
        <v>48</v>
      </c>
      <c r="B48" s="1" t="str">
        <f>+_xlfn.TEXTBEFORE(Table2[[#This Row],[Codigo]],":")</f>
        <v>Miradouro</v>
      </c>
    </row>
    <row r="49" spans="1:3">
      <c r="A49" s="1" t="s">
        <v>49</v>
      </c>
      <c r="B49" s="1" t="str">
        <f>+_xlfn.TEXTBEFORE(Table2[[#This Row],[Codigo]],":")</f>
        <v>Termas</v>
      </c>
      <c r="C49" s="2" t="s">
        <v>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Araújo Galvão</dc:creator>
  <cp:lastModifiedBy>Ricardo Araújo Galvão</cp:lastModifiedBy>
  <dcterms:created xsi:type="dcterms:W3CDTF">2025-06-12T15:03:45Z</dcterms:created>
  <dcterms:modified xsi:type="dcterms:W3CDTF">2025-06-12T15:53:42Z</dcterms:modified>
</cp:coreProperties>
</file>